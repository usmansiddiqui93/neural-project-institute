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Resource</t>
        </is>
      </c>
      <c r="D5" s="4" t="inlineStr">
        <is>
          <t>Unit</t>
        </is>
      </c>
      <c r="E5" s="4" t="inlineStr">
        <is>
          <t>Quantity</t>
        </is>
      </c>
      <c r="F5" s="4" t="inlineStr">
        <is>
          <t>Rate ($)</t>
        </is>
      </c>
      <c r="G5" s="4" t="inlineStr">
        <is>
          <t>Cost ($)</t>
        </is>
      </c>
      <c r="H5" s="4" t="inlineStr">
        <is>
          <t>Estimate type</t>
        </is>
      </c>
      <c r="I5" s="4" t="inlineStr">
        <is>
          <t>Notes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5" t="inlineStr">
        <is>
          <t>Project manager</t>
        </is>
      </c>
      <c r="D6" s="5" t="inlineStr">
        <is>
          <t>day</t>
        </is>
      </c>
      <c r="E6" s="6" t="n">
        <v>20</v>
      </c>
      <c r="F6" s="6" t="n">
        <v>650</v>
      </c>
      <c r="G6" s="6">
        <f>E6*F6</f>
        <v/>
      </c>
      <c r="H6" s="5" t="inlineStr">
        <is>
          <t>Bottom-up</t>
        </is>
      </c>
      <c r="I6" s="5" t="n"/>
    </row>
    <row r="7">
      <c r="A7" s="7" t="inlineStr">
        <is>
          <t>1.2</t>
        </is>
      </c>
      <c r="B7" s="7" t="inlineStr">
        <is>
          <t>Requirements</t>
        </is>
      </c>
      <c r="C7" s="7" t="inlineStr">
        <is>
          <t>Business analyst</t>
        </is>
      </c>
      <c r="D7" s="7" t="inlineStr">
        <is>
          <t>day</t>
        </is>
      </c>
      <c r="E7" s="8" t="n">
        <v>10</v>
      </c>
      <c r="F7" s="8" t="n">
        <v>550</v>
      </c>
      <c r="G7" s="8">
        <f>E7*F7</f>
        <v/>
      </c>
      <c r="H7" s="7" t="inlineStr">
        <is>
          <t>Bottom-up</t>
        </is>
      </c>
      <c r="I7" s="7" t="n"/>
    </row>
    <row r="8">
      <c r="A8" s="5" t="inlineStr">
        <is>
          <t>1.3</t>
        </is>
      </c>
      <c r="B8" s="5" t="inlineStr">
        <is>
          <t>Development</t>
        </is>
      </c>
      <c r="C8" s="5" t="inlineStr">
        <is>
          <t>Developer</t>
        </is>
      </c>
      <c r="D8" s="5" t="inlineStr">
        <is>
          <t>day</t>
        </is>
      </c>
      <c r="E8" s="6" t="n">
        <v>60</v>
      </c>
      <c r="F8" s="6" t="n">
        <v>600</v>
      </c>
      <c r="G8" s="6">
        <f>E8*F8</f>
        <v/>
      </c>
      <c r="H8" s="5" t="inlineStr">
        <is>
          <t>Analogous</t>
        </is>
      </c>
      <c r="I8" s="5" t="inlineStr">
        <is>
          <t>Based on last portal project</t>
        </is>
      </c>
    </row>
    <row r="9">
      <c r="A9" s="7" t="inlineStr">
        <is>
          <t>1.4</t>
        </is>
      </c>
      <c r="B9" s="7" t="inlineStr">
        <is>
          <t>Cloud hosting (year 1)</t>
        </is>
      </c>
      <c r="C9" s="7" t="inlineStr">
        <is>
          <t>Hosting</t>
        </is>
      </c>
      <c r="D9" s="7" t="inlineStr">
        <is>
          <t>month</t>
        </is>
      </c>
      <c r="E9" s="8" t="n">
        <v>12</v>
      </c>
      <c r="F9" s="8" t="n">
        <v>400</v>
      </c>
      <c r="G9" s="8">
        <f>E9*F9</f>
        <v/>
      </c>
      <c r="H9" s="7" t="inlineStr">
        <is>
          <t>Vendor quote</t>
        </is>
      </c>
      <c r="I9" s="7" t="n"/>
    </row>
    <row r="10">
      <c r="A10" s="5" t="inlineStr">
        <is>
          <t>1.5</t>
        </is>
      </c>
      <c r="B10" s="5" t="inlineStr">
        <is>
          <t>Testing</t>
        </is>
      </c>
      <c r="C10" s="5" t="inlineStr">
        <is>
          <t>QA engineer</t>
        </is>
      </c>
      <c r="D10" s="5" t="inlineStr">
        <is>
          <t>day</t>
        </is>
      </c>
      <c r="E10" s="6" t="n">
        <v>15</v>
      </c>
      <c r="F10" s="6" t="n">
        <v>500</v>
      </c>
      <c r="G10" s="6">
        <f>E10*F10</f>
        <v/>
      </c>
      <c r="H10" s="5" t="inlineStr">
        <is>
          <t>Parametric</t>
        </is>
      </c>
      <c r="I10" s="5" t="inlineStr">
        <is>
          <t>25% of dev effort</t>
        </is>
      </c>
    </row>
    <row r="11">
      <c r="A11" s="7" t="n"/>
      <c r="B11" s="7" t="inlineStr">
        <is>
          <t>Subtotal</t>
        </is>
      </c>
      <c r="C11" s="7" t="n"/>
      <c r="D11" s="7" t="n"/>
      <c r="E11" s="7" t="n"/>
      <c r="F11" s="7" t="n"/>
      <c r="G11" s="9">
        <f>SUM(G6:G10)</f>
        <v/>
      </c>
      <c r="H11" s="7" t="n"/>
      <c r="I11" s="7" t="n"/>
    </row>
    <row r="12">
      <c r="A12" s="5" t="n"/>
      <c r="B12" s="5" t="inlineStr">
        <is>
          <t>Contingency (10%)</t>
        </is>
      </c>
      <c r="C12" s="5" t="n"/>
      <c r="D12" s="5" t="n"/>
      <c r="E12" s="5" t="n"/>
      <c r="F12" s="5" t="n"/>
      <c r="G12" s="6">
        <f>G11*0.1</f>
        <v/>
      </c>
      <c r="H12" s="5" t="n"/>
      <c r="I12" s="5" t="inlineStr">
        <is>
          <t>For identified risks</t>
        </is>
      </c>
    </row>
    <row r="13">
      <c r="A13" s="7" t="n"/>
      <c r="B13" s="7" t="inlineStr">
        <is>
          <t>Total estimate</t>
        </is>
      </c>
      <c r="C13" s="7" t="n"/>
      <c r="D13" s="7" t="n"/>
      <c r="E13" s="7" t="n"/>
      <c r="F13" s="7" t="n"/>
      <c r="G13" s="8">
        <f>G11+G12</f>
        <v/>
      </c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(advanced)</dc:title>
  <dcterms:created xmlns:dcterms="http://purl.org/dc/terms/" xmlns:xsi="http://www.w3.org/2001/XMLSchema-instance" xsi:type="dcterms:W3CDTF">2026-10-07T20:07:59Z</dcterms:created>
  <dcterms:modified xmlns:dcterms="http://purl.org/dc/terms/" xmlns:xsi="http://www.w3.org/2001/XMLSchema-instance" xsi:type="dcterms:W3CDTF">2026-10-07T20:07:59Z</dcterms:modified>
</cp:coreProperties>
</file>